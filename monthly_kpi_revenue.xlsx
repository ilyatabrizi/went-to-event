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aryamousavi/Downloads/"/>
    </mc:Choice>
  </mc:AlternateContent>
  <xr:revisionPtr revIDLastSave="0" documentId="8_{727727C4-937B-A14B-8F22-7427AC77104E}" xr6:coauthVersionLast="47" xr6:coauthVersionMax="47" xr10:uidLastSave="{00000000-0000-0000-0000-000000000000}"/>
  <bookViews>
    <workbookView xWindow="0" yWindow="600" windowWidth="28800" windowHeight="15940" tabRatio="500" xr2:uid="{00000000-000D-0000-FFFF-FFFF00000000}"/>
  </bookViews>
  <sheets>
    <sheet name="گزارش ماهان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7" i="1" l="1"/>
  <c r="B68" i="1"/>
  <c r="B69" i="1"/>
  <c r="B70" i="1"/>
  <c r="B71" i="1"/>
  <c r="B86" i="1" s="1"/>
  <c r="B73" i="1"/>
  <c r="B75" i="1"/>
  <c r="B85" i="1"/>
  <c r="B90" i="1" s="1"/>
  <c r="B87" i="1"/>
  <c r="B88" i="1"/>
  <c r="B89" i="1"/>
  <c r="B101" i="1"/>
  <c r="B131" i="1"/>
  <c r="B38" i="1"/>
  <c r="B25" i="1"/>
  <c r="B129" i="1"/>
  <c r="B146" i="1" s="1"/>
  <c r="B128" i="1"/>
  <c r="B147" i="1" s="1"/>
  <c r="B127" i="1"/>
  <c r="B135" i="1" s="1"/>
  <c r="B145" i="1" s="1"/>
  <c r="B149" i="1"/>
  <c r="B148" i="1"/>
  <c r="B99" i="1"/>
  <c r="B116" i="1" s="1"/>
  <c r="B98" i="1"/>
  <c r="B117" i="1" s="1"/>
  <c r="B97" i="1"/>
  <c r="B105" i="1" s="1"/>
  <c r="B115" i="1" s="1"/>
  <c r="B119" i="1"/>
  <c r="B118" i="1"/>
  <c r="B58" i="1"/>
  <c r="B28" i="1"/>
  <c r="B27" i="1"/>
  <c r="B40" i="1"/>
  <c r="B55" i="1" s="1"/>
  <c r="B39" i="1"/>
  <c r="B42" i="1"/>
  <c r="B37" i="1"/>
  <c r="B56" i="1" s="1"/>
  <c r="B36" i="1"/>
  <c r="B44" i="1"/>
  <c r="B54" i="1" s="1"/>
  <c r="B13" i="1"/>
  <c r="B23" i="1" s="1"/>
  <c r="B11" i="1"/>
  <c r="B57" i="1"/>
  <c r="B24" i="1"/>
  <c r="B26" i="1"/>
  <c r="B133" i="1" l="1"/>
  <c r="B150" i="1"/>
  <c r="B130" i="1"/>
  <c r="B103" i="1"/>
  <c r="B120" i="1"/>
  <c r="B100" i="1"/>
  <c r="B59" i="1"/>
</calcChain>
</file>

<file path=xl/sharedStrings.xml><?xml version="1.0" encoding="utf-8"?>
<sst xmlns="http://schemas.openxmlformats.org/spreadsheetml/2006/main" count="179" uniqueCount="39">
  <si>
    <t>اعضا و میزبان‌ها (Members &amp; Hosts)</t>
  </si>
  <si>
    <t>Members</t>
  </si>
  <si>
    <t>Active Members</t>
  </si>
  <si>
    <t>Premium Members</t>
  </si>
  <si>
    <t>Host</t>
  </si>
  <si>
    <t>Active Host</t>
  </si>
  <si>
    <t>Premium Host</t>
  </si>
  <si>
    <t>رویدادها و بلیت (Events &amp; Tickets)</t>
  </si>
  <si>
    <t>Events</t>
  </si>
  <si>
    <t>Our Events</t>
  </si>
  <si>
    <t>Ticket Sale</t>
  </si>
  <si>
    <t>Ticket Commission</t>
  </si>
  <si>
    <t>قیمت‌ها و بوستینگ (Pricing &amp; Boosting)</t>
  </si>
  <si>
    <t>Average Event Price</t>
  </si>
  <si>
    <t>Host Premium Price</t>
  </si>
  <si>
    <t>Members Premium Price</t>
  </si>
  <si>
    <t>Average Boost Price</t>
  </si>
  <si>
    <t>درآمد ماهانه (Monthly Revenue)</t>
  </si>
  <si>
    <t xml:space="preserve"> (Monthly KPI &amp; Revenue Report)</t>
  </si>
  <si>
    <t>Note</t>
  </si>
  <si>
    <t xml:space="preserve"> Value</t>
  </si>
  <si>
    <t xml:space="preserve"> Metric</t>
  </si>
  <si>
    <t>Boosting</t>
  </si>
  <si>
    <t xml:space="preserve"> (Ticket Commission Revenue)</t>
  </si>
  <si>
    <t xml:space="preserve"> (Host Premium Revenue)</t>
  </si>
  <si>
    <t xml:space="preserve"> (Members Premium Revenue)</t>
  </si>
  <si>
    <t xml:space="preserve"> (Boosting Revenue)</t>
  </si>
  <si>
    <t xml:space="preserve"> (Total Monthly Revenue)</t>
  </si>
  <si>
    <t>Average Our Events Price</t>
  </si>
  <si>
    <t>(Our evens Revenue )</t>
  </si>
  <si>
    <t>مجموع درامد ها در هر ماه</t>
  </si>
  <si>
    <t>تعداد بوست * میانگین قیمت بوست</t>
  </si>
  <si>
    <t>عضو پرمیوم × قیمت اشتراک پرمیوم عضو</t>
  </si>
  <si>
    <t xml:space="preserve"> تعداد میزبان پرمیوم × قیمت اشتراک پرمیوم میزبان</t>
  </si>
  <si>
    <t xml:space="preserve"> تعداد بلیت × میانگین قیمت رویداد × درصد کمیسیون</t>
  </si>
  <si>
    <t>hosts</t>
  </si>
  <si>
    <t>premium</t>
  </si>
  <si>
    <t>actve mem</t>
  </si>
  <si>
    <t>pre hosts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</si>
</sst>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  <font>
      <sz val="11"/>
      <color rgb="FF000000"/>
      <name val="Arial"/>
      <family val="2"/>
    </font>
    <font>
      <sz val="11"/>
      <color theme="4"/>
      <name val="Arial"/>
      <family val="2"/>
    </font>
    <font>
      <sz val="11"/>
      <color theme="1"/>
      <name val="Arial"/>
      <family val="2"/>
    </font>
    <font>
      <b/>
      <sz val="10"/>
      <color rgb="FF808080"/>
      <name val="Arial"/>
      <family val="2"/>
    </font>
    <font>
      <b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0" fontId="0" fillId="5" borderId="0" xfId="0" applyFill="1"/>
    <xf numFmtId="0" fontId="0" fillId="0" borderId="0" xfId="0" applyNumberForma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C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zoomScaleNormal="142" workbookViewId="0">
      <pane ySplit="2" topLeftCell="A3" activePane="bottomLeft" state="frozen"/>
      <selection pane="bottomLeft" activeCell="A123" sqref="A123:C150"/>
    </sheetView>
  </sheetViews>
  <sheetFormatPr baseColWidth="10" defaultColWidth="8.6640625" defaultRowHeight="15" x14ac:dyDescent="0.2"/>
  <cols>
    <col min="1" max="1" width="40" customWidth="1"/>
    <col min="2" max="2" width="18" customWidth="1"/>
    <col min="3" max="3" width="42" customWidth="1"/>
    <col min="7" max="7" width="9.33203125" bestFit="1" customWidth="1"/>
  </cols>
  <sheetData>
    <row r="1" spans="1:8" ht="25.5" customHeight="1" x14ac:dyDescent="0.2">
      <c r="A1" s="20" t="s">
        <v>18</v>
      </c>
      <c r="B1" s="20"/>
      <c r="C1" s="20"/>
    </row>
    <row r="2" spans="1:8" ht="16" x14ac:dyDescent="0.2">
      <c r="A2" s="1" t="s">
        <v>21</v>
      </c>
      <c r="B2" s="1" t="s">
        <v>20</v>
      </c>
      <c r="C2" s="1" t="s">
        <v>19</v>
      </c>
    </row>
    <row r="3" spans="1:8" x14ac:dyDescent="0.2">
      <c r="A3" s="21" t="s">
        <v>0</v>
      </c>
      <c r="B3" s="21"/>
      <c r="C3" s="21"/>
    </row>
    <row r="4" spans="1:8" x14ac:dyDescent="0.2">
      <c r="A4" s="7" t="s">
        <v>1</v>
      </c>
      <c r="B4" s="3">
        <v>1000</v>
      </c>
      <c r="C4" s="8"/>
    </row>
    <row r="5" spans="1:8" x14ac:dyDescent="0.2">
      <c r="A5" s="7" t="s">
        <v>2</v>
      </c>
      <c r="B5" s="3">
        <v>300</v>
      </c>
      <c r="C5" s="8"/>
    </row>
    <row r="6" spans="1:8" x14ac:dyDescent="0.2">
      <c r="A6" s="7" t="s">
        <v>3</v>
      </c>
      <c r="B6" s="3">
        <v>25</v>
      </c>
      <c r="C6" s="8"/>
    </row>
    <row r="7" spans="1:8" x14ac:dyDescent="0.2">
      <c r="A7" s="7" t="s">
        <v>4</v>
      </c>
      <c r="B7" s="3">
        <v>30</v>
      </c>
      <c r="C7" s="8"/>
    </row>
    <row r="8" spans="1:8" x14ac:dyDescent="0.2">
      <c r="A8" s="7" t="s">
        <v>5</v>
      </c>
      <c r="B8" s="3">
        <v>15</v>
      </c>
      <c r="C8" s="8"/>
    </row>
    <row r="9" spans="1:8" x14ac:dyDescent="0.2">
      <c r="A9" s="7" t="s">
        <v>6</v>
      </c>
      <c r="B9" s="3">
        <v>5</v>
      </c>
      <c r="C9" s="8"/>
      <c r="G9" t="s">
        <v>37</v>
      </c>
      <c r="H9" s="23">
        <v>0.3</v>
      </c>
    </row>
    <row r="10" spans="1:8" x14ac:dyDescent="0.2">
      <c r="A10" s="21" t="s">
        <v>7</v>
      </c>
      <c r="B10" s="21"/>
      <c r="C10" s="21"/>
      <c r="G10" t="s">
        <v>36</v>
      </c>
      <c r="H10" s="23">
        <v>0.03</v>
      </c>
    </row>
    <row r="11" spans="1:8" x14ac:dyDescent="0.2">
      <c r="A11" s="7" t="s">
        <v>8</v>
      </c>
      <c r="B11" s="3">
        <f>B7</f>
        <v>30</v>
      </c>
      <c r="C11" s="8"/>
      <c r="G11" t="s">
        <v>35</v>
      </c>
      <c r="H11" s="22">
        <v>1.4999999999999999E-2</v>
      </c>
    </row>
    <row r="12" spans="1:8" x14ac:dyDescent="0.2">
      <c r="A12" s="7" t="s">
        <v>9</v>
      </c>
      <c r="B12" s="3">
        <v>5</v>
      </c>
      <c r="C12" s="8"/>
      <c r="G12" t="s">
        <v>38</v>
      </c>
      <c r="H12" s="22">
        <v>5.0000000000000001E-3</v>
      </c>
    </row>
    <row r="13" spans="1:8" x14ac:dyDescent="0.2">
      <c r="A13" s="7" t="s">
        <v>10</v>
      </c>
      <c r="B13" s="3">
        <f>B5*1.5</f>
        <v>450</v>
      </c>
      <c r="C13" s="8"/>
    </row>
    <row r="14" spans="1:8" x14ac:dyDescent="0.2">
      <c r="A14" s="7" t="s">
        <v>11</v>
      </c>
      <c r="B14" s="4">
        <v>0.08</v>
      </c>
      <c r="C14" s="8"/>
    </row>
    <row r="15" spans="1:8" x14ac:dyDescent="0.2">
      <c r="A15" s="11" t="s">
        <v>12</v>
      </c>
      <c r="B15" s="11"/>
      <c r="C15" s="11"/>
    </row>
    <row r="16" spans="1:8" x14ac:dyDescent="0.2">
      <c r="A16" s="7" t="s">
        <v>13</v>
      </c>
      <c r="B16" s="3">
        <v>700000</v>
      </c>
      <c r="C16" s="8"/>
    </row>
    <row r="17" spans="1:3" x14ac:dyDescent="0.2">
      <c r="A17" s="7" t="s">
        <v>14</v>
      </c>
      <c r="B17" s="3">
        <v>500000</v>
      </c>
      <c r="C17" s="8"/>
    </row>
    <row r="18" spans="1:3" x14ac:dyDescent="0.2">
      <c r="A18" s="7" t="s">
        <v>15</v>
      </c>
      <c r="B18" s="3">
        <v>300000</v>
      </c>
      <c r="C18" s="8"/>
    </row>
    <row r="19" spans="1:3" x14ac:dyDescent="0.2">
      <c r="A19" s="7" t="s">
        <v>16</v>
      </c>
      <c r="B19" s="3">
        <v>10000000</v>
      </c>
      <c r="C19" s="8"/>
    </row>
    <row r="20" spans="1:3" x14ac:dyDescent="0.2">
      <c r="A20" s="7" t="s">
        <v>22</v>
      </c>
      <c r="B20" s="5">
        <v>0</v>
      </c>
      <c r="C20" s="8"/>
    </row>
    <row r="21" spans="1:3" x14ac:dyDescent="0.2">
      <c r="A21" s="9" t="s">
        <v>28</v>
      </c>
      <c r="B21" s="6">
        <v>1000000</v>
      </c>
      <c r="C21" s="12"/>
    </row>
    <row r="22" spans="1:3" x14ac:dyDescent="0.2">
      <c r="A22" s="10" t="s">
        <v>17</v>
      </c>
      <c r="B22" s="10"/>
      <c r="C22" s="10"/>
    </row>
    <row r="23" spans="1:3" x14ac:dyDescent="0.2">
      <c r="A23" s="7" t="s">
        <v>23</v>
      </c>
      <c r="B23" s="2">
        <f>B13*B16*B14</f>
        <v>25200000</v>
      </c>
      <c r="C23" s="15" t="s">
        <v>34</v>
      </c>
    </row>
    <row r="24" spans="1:3" x14ac:dyDescent="0.2">
      <c r="A24" s="7" t="s">
        <v>24</v>
      </c>
      <c r="B24" s="2">
        <f>B9*B17</f>
        <v>2500000</v>
      </c>
      <c r="C24" s="15" t="s">
        <v>33</v>
      </c>
    </row>
    <row r="25" spans="1:3" x14ac:dyDescent="0.2">
      <c r="A25" s="7" t="s">
        <v>25</v>
      </c>
      <c r="B25" s="2">
        <f>B6*B18</f>
        <v>7500000</v>
      </c>
      <c r="C25" s="15" t="s">
        <v>32</v>
      </c>
    </row>
    <row r="26" spans="1:3" x14ac:dyDescent="0.2">
      <c r="A26" s="7" t="s">
        <v>26</v>
      </c>
      <c r="B26" s="2">
        <f>IFERROR(B20*B19,0)</f>
        <v>0</v>
      </c>
      <c r="C26" s="15" t="s">
        <v>31</v>
      </c>
    </row>
    <row r="27" spans="1:3" x14ac:dyDescent="0.2">
      <c r="A27" s="13" t="s">
        <v>29</v>
      </c>
      <c r="B27" s="25">
        <f>B21*B12</f>
        <v>5000000</v>
      </c>
      <c r="C27" s="16"/>
    </row>
    <row r="28" spans="1:3" x14ac:dyDescent="0.2">
      <c r="A28" s="17" t="s">
        <v>27</v>
      </c>
      <c r="B28" s="18">
        <f>SUM(B23:B27)</f>
        <v>40200000</v>
      </c>
      <c r="C28" s="19" t="s">
        <v>30</v>
      </c>
    </row>
    <row r="29" spans="1:3" x14ac:dyDescent="0.2">
      <c r="A29" s="14"/>
      <c r="B29" s="14"/>
      <c r="C29" s="14"/>
    </row>
    <row r="32" spans="1:3" ht="18" x14ac:dyDescent="0.2">
      <c r="A32" s="20" t="s">
        <v>18</v>
      </c>
      <c r="B32" s="20"/>
      <c r="C32" s="20"/>
    </row>
    <row r="33" spans="1:3" ht="16" x14ac:dyDescent="0.2">
      <c r="A33" s="1" t="s">
        <v>21</v>
      </c>
      <c r="B33" s="1" t="s">
        <v>20</v>
      </c>
      <c r="C33" s="1" t="s">
        <v>19</v>
      </c>
    </row>
    <row r="34" spans="1:3" x14ac:dyDescent="0.2">
      <c r="A34" s="21" t="s">
        <v>0</v>
      </c>
      <c r="B34" s="21"/>
      <c r="C34" s="21"/>
    </row>
    <row r="35" spans="1:3" x14ac:dyDescent="0.2">
      <c r="A35" s="7" t="s">
        <v>1</v>
      </c>
      <c r="B35" s="3">
        <v>5000</v>
      </c>
      <c r="C35" s="8"/>
    </row>
    <row r="36" spans="1:3" x14ac:dyDescent="0.2">
      <c r="A36" s="7" t="s">
        <v>2</v>
      </c>
      <c r="B36" s="3">
        <f>B35*H9</f>
        <v>1500</v>
      </c>
      <c r="C36" s="8"/>
    </row>
    <row r="37" spans="1:3" x14ac:dyDescent="0.2">
      <c r="A37" s="7" t="s">
        <v>3</v>
      </c>
      <c r="B37" s="3">
        <f>B35*H10</f>
        <v>150</v>
      </c>
      <c r="C37" s="8"/>
    </row>
    <row r="38" spans="1:3" x14ac:dyDescent="0.2">
      <c r="A38" s="7" t="s">
        <v>4</v>
      </c>
      <c r="B38" s="3">
        <f>B35*H11</f>
        <v>75</v>
      </c>
      <c r="C38" s="8"/>
    </row>
    <row r="39" spans="1:3" x14ac:dyDescent="0.2">
      <c r="A39" s="7" t="s">
        <v>5</v>
      </c>
      <c r="B39" s="3">
        <f>B38/2</f>
        <v>37.5</v>
      </c>
      <c r="C39" s="8"/>
    </row>
    <row r="40" spans="1:3" x14ac:dyDescent="0.2">
      <c r="A40" s="7" t="s">
        <v>6</v>
      </c>
      <c r="B40" s="3">
        <f>B38*30%</f>
        <v>22.5</v>
      </c>
      <c r="C40" s="8"/>
    </row>
    <row r="41" spans="1:3" x14ac:dyDescent="0.2">
      <c r="A41" s="21" t="s">
        <v>7</v>
      </c>
      <c r="B41" s="21"/>
      <c r="C41" s="21"/>
    </row>
    <row r="42" spans="1:3" x14ac:dyDescent="0.2">
      <c r="A42" s="7" t="s">
        <v>8</v>
      </c>
      <c r="B42" s="3">
        <f>B38</f>
        <v>75</v>
      </c>
      <c r="C42" s="8"/>
    </row>
    <row r="43" spans="1:3" x14ac:dyDescent="0.2">
      <c r="A43" s="7" t="s">
        <v>9</v>
      </c>
      <c r="B43" s="3">
        <v>10</v>
      </c>
      <c r="C43" s="8"/>
    </row>
    <row r="44" spans="1:3" x14ac:dyDescent="0.2">
      <c r="A44" s="7" t="s">
        <v>10</v>
      </c>
      <c r="B44" s="3">
        <f>B36*1.5</f>
        <v>2250</v>
      </c>
      <c r="C44" s="8"/>
    </row>
    <row r="45" spans="1:3" x14ac:dyDescent="0.2">
      <c r="A45" s="7" t="s">
        <v>11</v>
      </c>
      <c r="B45" s="4">
        <v>0.08</v>
      </c>
      <c r="C45" s="8"/>
    </row>
    <row r="46" spans="1:3" x14ac:dyDescent="0.2">
      <c r="A46" s="11" t="s">
        <v>12</v>
      </c>
      <c r="B46" s="24"/>
      <c r="C46" s="11"/>
    </row>
    <row r="47" spans="1:3" x14ac:dyDescent="0.2">
      <c r="A47" s="7" t="s">
        <v>13</v>
      </c>
      <c r="B47" s="3">
        <v>700000</v>
      </c>
      <c r="C47" s="8"/>
    </row>
    <row r="48" spans="1:3" x14ac:dyDescent="0.2">
      <c r="A48" s="7" t="s">
        <v>14</v>
      </c>
      <c r="B48" s="3">
        <v>500000</v>
      </c>
      <c r="C48" s="8"/>
    </row>
    <row r="49" spans="1:3" x14ac:dyDescent="0.2">
      <c r="A49" s="7" t="s">
        <v>15</v>
      </c>
      <c r="B49" s="3">
        <v>300000</v>
      </c>
      <c r="C49" s="8"/>
    </row>
    <row r="50" spans="1:3" x14ac:dyDescent="0.2">
      <c r="A50" s="7" t="s">
        <v>16</v>
      </c>
      <c r="B50" s="3">
        <v>10000000</v>
      </c>
      <c r="C50" s="8"/>
    </row>
    <row r="51" spans="1:3" x14ac:dyDescent="0.2">
      <c r="A51" s="7" t="s">
        <v>22</v>
      </c>
      <c r="B51" s="5">
        <v>3</v>
      </c>
      <c r="C51" s="8"/>
    </row>
    <row r="52" spans="1:3" x14ac:dyDescent="0.2">
      <c r="A52" s="9" t="s">
        <v>28</v>
      </c>
      <c r="B52" s="6">
        <v>1000000</v>
      </c>
      <c r="C52" s="12"/>
    </row>
    <row r="53" spans="1:3" x14ac:dyDescent="0.2">
      <c r="A53" s="10" t="s">
        <v>17</v>
      </c>
      <c r="B53" s="10"/>
      <c r="C53" s="10"/>
    </row>
    <row r="54" spans="1:3" x14ac:dyDescent="0.2">
      <c r="A54" s="7" t="s">
        <v>23</v>
      </c>
      <c r="B54" s="2">
        <f>B44*B47*B45</f>
        <v>126000000</v>
      </c>
      <c r="C54" s="15" t="s">
        <v>34</v>
      </c>
    </row>
    <row r="55" spans="1:3" x14ac:dyDescent="0.2">
      <c r="A55" s="7" t="s">
        <v>24</v>
      </c>
      <c r="B55" s="2">
        <f>B40*B48</f>
        <v>11250000</v>
      </c>
      <c r="C55" s="15" t="s">
        <v>33</v>
      </c>
    </row>
    <row r="56" spans="1:3" x14ac:dyDescent="0.2">
      <c r="A56" s="7" t="s">
        <v>25</v>
      </c>
      <c r="B56" s="2">
        <f>B37*B49</f>
        <v>45000000</v>
      </c>
      <c r="C56" s="15" t="s">
        <v>32</v>
      </c>
    </row>
    <row r="57" spans="1:3" x14ac:dyDescent="0.2">
      <c r="A57" s="7" t="s">
        <v>26</v>
      </c>
      <c r="B57" s="2">
        <f>IFERROR(B51*B50,0)</f>
        <v>30000000</v>
      </c>
      <c r="C57" s="15" t="s">
        <v>31</v>
      </c>
    </row>
    <row r="58" spans="1:3" x14ac:dyDescent="0.2">
      <c r="A58" s="13" t="s">
        <v>29</v>
      </c>
      <c r="B58" s="12">
        <f>B52*B43</f>
        <v>10000000</v>
      </c>
      <c r="C58" s="16"/>
    </row>
    <row r="59" spans="1:3" x14ac:dyDescent="0.2">
      <c r="A59" s="17" t="s">
        <v>27</v>
      </c>
      <c r="B59" s="18">
        <f>SUM(B54:B57)</f>
        <v>212250000</v>
      </c>
      <c r="C59" s="19" t="s">
        <v>30</v>
      </c>
    </row>
    <row r="63" spans="1:3" ht="18" x14ac:dyDescent="0.2">
      <c r="A63" s="27" t="s">
        <v>18</v>
      </c>
      <c r="B63" s="27"/>
      <c r="C63" s="27"/>
    </row>
    <row r="64" spans="1:3" ht="16" x14ac:dyDescent="0.2">
      <c r="A64" s="1" t="s">
        <v>21</v>
      </c>
      <c r="B64" s="1" t="s">
        <v>20</v>
      </c>
      <c r="C64" s="1" t="s">
        <v>19</v>
      </c>
    </row>
    <row r="65" spans="1:3" x14ac:dyDescent="0.2">
      <c r="A65" s="26" t="s">
        <v>0</v>
      </c>
      <c r="B65" s="26"/>
      <c r="C65" s="26"/>
    </row>
    <row r="66" spans="1:3" x14ac:dyDescent="0.2">
      <c r="A66" s="7" t="s">
        <v>1</v>
      </c>
      <c r="B66" s="3">
        <v>10000</v>
      </c>
      <c r="C66" s="8"/>
    </row>
    <row r="67" spans="1:3" x14ac:dyDescent="0.2">
      <c r="A67" s="7" t="s">
        <v>2</v>
      </c>
      <c r="B67" s="3">
        <f>B66*H9</f>
        <v>3000</v>
      </c>
      <c r="C67" s="8"/>
    </row>
    <row r="68" spans="1:3" x14ac:dyDescent="0.2">
      <c r="A68" s="7" t="s">
        <v>3</v>
      </c>
      <c r="B68" s="3">
        <f>B66*H10</f>
        <v>300</v>
      </c>
      <c r="C68" s="8"/>
    </row>
    <row r="69" spans="1:3" x14ac:dyDescent="0.2">
      <c r="A69" s="7" t="s">
        <v>4</v>
      </c>
      <c r="B69" s="3">
        <f>B66*H11</f>
        <v>150</v>
      </c>
      <c r="C69" s="8"/>
    </row>
    <row r="70" spans="1:3" x14ac:dyDescent="0.2">
      <c r="A70" s="7" t="s">
        <v>5</v>
      </c>
      <c r="B70" s="3">
        <f>B69/2</f>
        <v>75</v>
      </c>
      <c r="C70" s="8"/>
    </row>
    <row r="71" spans="1:3" x14ac:dyDescent="0.2">
      <c r="A71" s="7" t="s">
        <v>6</v>
      </c>
      <c r="B71" s="3">
        <f>B69*30%</f>
        <v>45</v>
      </c>
      <c r="C71" s="8"/>
    </row>
    <row r="72" spans="1:3" x14ac:dyDescent="0.2">
      <c r="A72" s="26" t="s">
        <v>7</v>
      </c>
      <c r="B72" s="26"/>
      <c r="C72" s="26"/>
    </row>
    <row r="73" spans="1:3" x14ac:dyDescent="0.2">
      <c r="A73" s="7" t="s">
        <v>8</v>
      </c>
      <c r="B73" s="3">
        <f>B69</f>
        <v>150</v>
      </c>
      <c r="C73" s="8"/>
    </row>
    <row r="74" spans="1:3" x14ac:dyDescent="0.2">
      <c r="A74" s="7" t="s">
        <v>9</v>
      </c>
      <c r="B74" s="3">
        <v>10</v>
      </c>
      <c r="C74" s="8"/>
    </row>
    <row r="75" spans="1:3" x14ac:dyDescent="0.2">
      <c r="A75" s="7" t="s">
        <v>10</v>
      </c>
      <c r="B75" s="3">
        <f>B67*1.5</f>
        <v>4500</v>
      </c>
      <c r="C75" s="8"/>
    </row>
    <row r="76" spans="1:3" x14ac:dyDescent="0.2">
      <c r="A76" s="7" t="s">
        <v>11</v>
      </c>
      <c r="B76" s="4">
        <v>0.08</v>
      </c>
      <c r="C76" s="8"/>
    </row>
    <row r="77" spans="1:3" x14ac:dyDescent="0.2">
      <c r="A77" s="11" t="s">
        <v>12</v>
      </c>
      <c r="B77" s="24"/>
      <c r="C77" s="11"/>
    </row>
    <row r="78" spans="1:3" x14ac:dyDescent="0.2">
      <c r="A78" s="7" t="s">
        <v>13</v>
      </c>
      <c r="B78" s="3">
        <v>700000</v>
      </c>
      <c r="C78" s="8"/>
    </row>
    <row r="79" spans="1:3" x14ac:dyDescent="0.2">
      <c r="A79" s="7" t="s">
        <v>14</v>
      </c>
      <c r="B79" s="3">
        <v>500000</v>
      </c>
      <c r="C79" s="8"/>
    </row>
    <row r="80" spans="1:3" x14ac:dyDescent="0.2">
      <c r="A80" s="7" t="s">
        <v>15</v>
      </c>
      <c r="B80" s="3">
        <v>300000</v>
      </c>
      <c r="C80" s="8"/>
    </row>
    <row r="81" spans="1:3" x14ac:dyDescent="0.2">
      <c r="A81" s="7" t="s">
        <v>16</v>
      </c>
      <c r="B81" s="3">
        <v>10000000</v>
      </c>
      <c r="C81" s="8"/>
    </row>
    <row r="82" spans="1:3" x14ac:dyDescent="0.2">
      <c r="A82" s="7" t="s">
        <v>22</v>
      </c>
      <c r="B82" s="5">
        <v>10</v>
      </c>
      <c r="C82" s="8"/>
    </row>
    <row r="83" spans="1:3" x14ac:dyDescent="0.2">
      <c r="A83" s="9" t="s">
        <v>28</v>
      </c>
      <c r="B83" s="6">
        <v>1000000</v>
      </c>
      <c r="C83" s="12"/>
    </row>
    <row r="84" spans="1:3" x14ac:dyDescent="0.2">
      <c r="A84" s="10" t="s">
        <v>17</v>
      </c>
      <c r="B84" s="10"/>
      <c r="C84" s="10"/>
    </row>
    <row r="85" spans="1:3" x14ac:dyDescent="0.2">
      <c r="A85" s="7" t="s">
        <v>23</v>
      </c>
      <c r="B85" s="2">
        <f>B75*B78*B76</f>
        <v>252000000</v>
      </c>
      <c r="C85" s="15" t="s">
        <v>34</v>
      </c>
    </row>
    <row r="86" spans="1:3" x14ac:dyDescent="0.2">
      <c r="A86" s="7" t="s">
        <v>24</v>
      </c>
      <c r="B86" s="2">
        <f>B71*B79</f>
        <v>22500000</v>
      </c>
      <c r="C86" s="15" t="s">
        <v>33</v>
      </c>
    </row>
    <row r="87" spans="1:3" x14ac:dyDescent="0.2">
      <c r="A87" s="7" t="s">
        <v>25</v>
      </c>
      <c r="B87" s="2">
        <f>B68*B80</f>
        <v>90000000</v>
      </c>
      <c r="C87" s="15" t="s">
        <v>32</v>
      </c>
    </row>
    <row r="88" spans="1:3" x14ac:dyDescent="0.2">
      <c r="A88" s="7" t="s">
        <v>26</v>
      </c>
      <c r="B88" s="2">
        <f>IFERROR(B82*B81,0)</f>
        <v>100000000</v>
      </c>
      <c r="C88" s="15" t="s">
        <v>31</v>
      </c>
    </row>
    <row r="89" spans="1:3" x14ac:dyDescent="0.2">
      <c r="A89" s="13" t="s">
        <v>29</v>
      </c>
      <c r="B89" s="12">
        <f>B83*B74</f>
        <v>10000000</v>
      </c>
      <c r="C89" s="16"/>
    </row>
    <row r="90" spans="1:3" x14ac:dyDescent="0.2">
      <c r="A90" s="17" t="s">
        <v>27</v>
      </c>
      <c r="B90" s="18">
        <f>SUM(B85:B89)</f>
        <v>474500000</v>
      </c>
      <c r="C90" s="19" t="s">
        <v>30</v>
      </c>
    </row>
    <row r="93" spans="1:3" ht="18" x14ac:dyDescent="0.2">
      <c r="A93" s="20" t="s">
        <v>18</v>
      </c>
      <c r="B93" s="20"/>
      <c r="C93" s="20"/>
    </row>
    <row r="94" spans="1:3" ht="16" x14ac:dyDescent="0.2">
      <c r="A94" s="1" t="s">
        <v>21</v>
      </c>
      <c r="B94" s="1" t="s">
        <v>20</v>
      </c>
      <c r="C94" s="1" t="s">
        <v>19</v>
      </c>
    </row>
    <row r="95" spans="1:3" x14ac:dyDescent="0.2">
      <c r="A95" s="21" t="s">
        <v>0</v>
      </c>
      <c r="B95" s="21"/>
      <c r="C95" s="21"/>
    </row>
    <row r="96" spans="1:3" x14ac:dyDescent="0.2">
      <c r="A96" s="7" t="s">
        <v>1</v>
      </c>
      <c r="B96" s="3">
        <v>20000</v>
      </c>
      <c r="C96" s="8"/>
    </row>
    <row r="97" spans="1:3" x14ac:dyDescent="0.2">
      <c r="A97" s="7" t="s">
        <v>2</v>
      </c>
      <c r="B97" s="3">
        <f>B96*H9</f>
        <v>6000</v>
      </c>
      <c r="C97" s="8"/>
    </row>
    <row r="98" spans="1:3" x14ac:dyDescent="0.2">
      <c r="A98" s="7" t="s">
        <v>3</v>
      </c>
      <c r="B98" s="3">
        <f>B96*H10</f>
        <v>600</v>
      </c>
      <c r="C98" s="8"/>
    </row>
    <row r="99" spans="1:3" x14ac:dyDescent="0.2">
      <c r="A99" s="7" t="s">
        <v>4</v>
      </c>
      <c r="B99" s="3">
        <f>B96*H11</f>
        <v>300</v>
      </c>
      <c r="C99" s="8"/>
    </row>
    <row r="100" spans="1:3" x14ac:dyDescent="0.2">
      <c r="A100" s="7" t="s">
        <v>5</v>
      </c>
      <c r="B100" s="3">
        <f>B99/2</f>
        <v>150</v>
      </c>
      <c r="C100" s="8"/>
    </row>
    <row r="101" spans="1:3" x14ac:dyDescent="0.2">
      <c r="A101" s="7" t="s">
        <v>6</v>
      </c>
      <c r="B101" s="3">
        <f>B99*30%</f>
        <v>90</v>
      </c>
      <c r="C101" s="8"/>
    </row>
    <row r="102" spans="1:3" x14ac:dyDescent="0.2">
      <c r="A102" s="21" t="s">
        <v>7</v>
      </c>
      <c r="B102" s="21"/>
      <c r="C102" s="21"/>
    </row>
    <row r="103" spans="1:3" x14ac:dyDescent="0.2">
      <c r="A103" s="7" t="s">
        <v>8</v>
      </c>
      <c r="B103" s="3">
        <f>B99</f>
        <v>300</v>
      </c>
      <c r="C103" s="8"/>
    </row>
    <row r="104" spans="1:3" x14ac:dyDescent="0.2">
      <c r="A104" s="7" t="s">
        <v>9</v>
      </c>
      <c r="B104" s="3">
        <v>10</v>
      </c>
      <c r="C104" s="8"/>
    </row>
    <row r="105" spans="1:3" x14ac:dyDescent="0.2">
      <c r="A105" s="7" t="s">
        <v>10</v>
      </c>
      <c r="B105" s="3">
        <f>B97*1.5</f>
        <v>9000</v>
      </c>
      <c r="C105" s="8"/>
    </row>
    <row r="106" spans="1:3" x14ac:dyDescent="0.2">
      <c r="A106" s="7" t="s">
        <v>11</v>
      </c>
      <c r="B106" s="4">
        <v>0.08</v>
      </c>
      <c r="C106" s="8"/>
    </row>
    <row r="107" spans="1:3" x14ac:dyDescent="0.2">
      <c r="A107" s="11" t="s">
        <v>12</v>
      </c>
      <c r="B107" s="24"/>
      <c r="C107" s="11"/>
    </row>
    <row r="108" spans="1:3" x14ac:dyDescent="0.2">
      <c r="A108" s="7" t="s">
        <v>13</v>
      </c>
      <c r="B108" s="3">
        <v>700000</v>
      </c>
      <c r="C108" s="8"/>
    </row>
    <row r="109" spans="1:3" x14ac:dyDescent="0.2">
      <c r="A109" s="7" t="s">
        <v>14</v>
      </c>
      <c r="B109" s="3">
        <v>1000000</v>
      </c>
      <c r="C109" s="8"/>
    </row>
    <row r="110" spans="1:3" x14ac:dyDescent="0.2">
      <c r="A110" s="7" t="s">
        <v>15</v>
      </c>
      <c r="B110" s="3">
        <v>500000</v>
      </c>
      <c r="C110" s="8"/>
    </row>
    <row r="111" spans="1:3" x14ac:dyDescent="0.2">
      <c r="A111" s="7" t="s">
        <v>16</v>
      </c>
      <c r="B111" s="3">
        <v>20000000</v>
      </c>
      <c r="C111" s="8"/>
    </row>
    <row r="112" spans="1:3" x14ac:dyDescent="0.2">
      <c r="A112" s="7" t="s">
        <v>22</v>
      </c>
      <c r="B112" s="5">
        <v>10</v>
      </c>
      <c r="C112" s="8"/>
    </row>
    <row r="113" spans="1:3" x14ac:dyDescent="0.2">
      <c r="A113" s="9" t="s">
        <v>28</v>
      </c>
      <c r="B113" s="6">
        <v>3000000</v>
      </c>
      <c r="C113" s="12"/>
    </row>
    <row r="114" spans="1:3" x14ac:dyDescent="0.2">
      <c r="A114" s="10" t="s">
        <v>17</v>
      </c>
      <c r="B114" s="10"/>
      <c r="C114" s="10"/>
    </row>
    <row r="115" spans="1:3" x14ac:dyDescent="0.2">
      <c r="A115" s="7" t="s">
        <v>23</v>
      </c>
      <c r="B115" s="2">
        <f>B105*B108*B106</f>
        <v>504000000</v>
      </c>
      <c r="C115" s="15" t="s">
        <v>34</v>
      </c>
    </row>
    <row r="116" spans="1:3" x14ac:dyDescent="0.2">
      <c r="A116" s="7" t="s">
        <v>24</v>
      </c>
      <c r="B116" s="2">
        <f>B101*B109</f>
        <v>90000000</v>
      </c>
      <c r="C116" s="15" t="s">
        <v>33</v>
      </c>
    </row>
    <row r="117" spans="1:3" x14ac:dyDescent="0.2">
      <c r="A117" s="7" t="s">
        <v>25</v>
      </c>
      <c r="B117" s="2">
        <f>B98*B110</f>
        <v>300000000</v>
      </c>
      <c r="C117" s="15" t="s">
        <v>32</v>
      </c>
    </row>
    <row r="118" spans="1:3" x14ac:dyDescent="0.2">
      <c r="A118" s="7" t="s">
        <v>26</v>
      </c>
      <c r="B118" s="2">
        <f>IFERROR(B112*B111,0)</f>
        <v>200000000</v>
      </c>
      <c r="C118" s="15" t="s">
        <v>31</v>
      </c>
    </row>
    <row r="119" spans="1:3" x14ac:dyDescent="0.2">
      <c r="A119" s="13" t="s">
        <v>29</v>
      </c>
      <c r="B119" s="12">
        <f>B113*B104</f>
        <v>30000000</v>
      </c>
      <c r="C119" s="16"/>
    </row>
    <row r="120" spans="1:3" x14ac:dyDescent="0.2">
      <c r="A120" s="17" t="s">
        <v>27</v>
      </c>
      <c r="B120" s="18">
        <f>SUM(B115:B119)</f>
        <v>1124000000</v>
      </c>
      <c r="C120" s="19" t="s">
        <v>30</v>
      </c>
    </row>
    <row r="123" spans="1:3" ht="18" x14ac:dyDescent="0.2">
      <c r="A123" s="20" t="s">
        <v>18</v>
      </c>
      <c r="B123" s="20"/>
      <c r="C123" s="20"/>
    </row>
    <row r="124" spans="1:3" ht="16" x14ac:dyDescent="0.2">
      <c r="A124" s="1" t="s">
        <v>21</v>
      </c>
      <c r="B124" s="1" t="s">
        <v>20</v>
      </c>
      <c r="C124" s="1" t="s">
        <v>19</v>
      </c>
    </row>
    <row r="125" spans="1:3" x14ac:dyDescent="0.2">
      <c r="A125" s="21" t="s">
        <v>0</v>
      </c>
      <c r="B125" s="21"/>
      <c r="C125" s="21"/>
    </row>
    <row r="126" spans="1:3" x14ac:dyDescent="0.2">
      <c r="A126" s="7" t="s">
        <v>1</v>
      </c>
      <c r="B126" s="3">
        <v>35000</v>
      </c>
      <c r="C126" s="8"/>
    </row>
    <row r="127" spans="1:3" x14ac:dyDescent="0.2">
      <c r="A127" s="7" t="s">
        <v>2</v>
      </c>
      <c r="B127" s="3">
        <f>B126*H9</f>
        <v>10500</v>
      </c>
      <c r="C127" s="8"/>
    </row>
    <row r="128" spans="1:3" x14ac:dyDescent="0.2">
      <c r="A128" s="7" t="s">
        <v>3</v>
      </c>
      <c r="B128" s="3">
        <f>B126*H10</f>
        <v>1050</v>
      </c>
      <c r="C128" s="8"/>
    </row>
    <row r="129" spans="1:3" x14ac:dyDescent="0.2">
      <c r="A129" s="7" t="s">
        <v>4</v>
      </c>
      <c r="B129" s="3">
        <f>B126*H11</f>
        <v>525</v>
      </c>
      <c r="C129" s="8"/>
    </row>
    <row r="130" spans="1:3" x14ac:dyDescent="0.2">
      <c r="A130" s="7" t="s">
        <v>5</v>
      </c>
      <c r="B130" s="3">
        <f>B129/2</f>
        <v>262.5</v>
      </c>
      <c r="C130" s="8"/>
    </row>
    <row r="131" spans="1:3" x14ac:dyDescent="0.2">
      <c r="A131" s="7" t="s">
        <v>6</v>
      </c>
      <c r="B131" s="3">
        <f>B129*30%</f>
        <v>157.5</v>
      </c>
      <c r="C131" s="8"/>
    </row>
    <row r="132" spans="1:3" x14ac:dyDescent="0.2">
      <c r="A132" s="21" t="s">
        <v>7</v>
      </c>
      <c r="B132" s="21"/>
      <c r="C132" s="21"/>
    </row>
    <row r="133" spans="1:3" x14ac:dyDescent="0.2">
      <c r="A133" s="7" t="s">
        <v>8</v>
      </c>
      <c r="B133" s="3">
        <f>B129</f>
        <v>525</v>
      </c>
      <c r="C133" s="8"/>
    </row>
    <row r="134" spans="1:3" x14ac:dyDescent="0.2">
      <c r="A134" s="7" t="s">
        <v>9</v>
      </c>
      <c r="B134" s="3">
        <v>10</v>
      </c>
      <c r="C134" s="8"/>
    </row>
    <row r="135" spans="1:3" x14ac:dyDescent="0.2">
      <c r="A135" s="7" t="s">
        <v>10</v>
      </c>
      <c r="B135" s="3">
        <f>B127*1.5</f>
        <v>15750</v>
      </c>
      <c r="C135" s="8"/>
    </row>
    <row r="136" spans="1:3" x14ac:dyDescent="0.2">
      <c r="A136" s="7" t="s">
        <v>11</v>
      </c>
      <c r="B136" s="4">
        <v>0.08</v>
      </c>
      <c r="C136" s="8"/>
    </row>
    <row r="137" spans="1:3" x14ac:dyDescent="0.2">
      <c r="A137" s="11" t="s">
        <v>12</v>
      </c>
      <c r="B137" s="24"/>
      <c r="C137" s="11"/>
    </row>
    <row r="138" spans="1:3" x14ac:dyDescent="0.2">
      <c r="A138" s="7" t="s">
        <v>13</v>
      </c>
      <c r="B138" s="3">
        <v>700000</v>
      </c>
      <c r="C138" s="8"/>
    </row>
    <row r="139" spans="1:3" x14ac:dyDescent="0.2">
      <c r="A139" s="7" t="s">
        <v>14</v>
      </c>
      <c r="B139" s="3">
        <v>1000000</v>
      </c>
      <c r="C139" s="8"/>
    </row>
    <row r="140" spans="1:3" x14ac:dyDescent="0.2">
      <c r="A140" s="7" t="s">
        <v>15</v>
      </c>
      <c r="B140" s="3">
        <v>500000</v>
      </c>
      <c r="C140" s="8"/>
    </row>
    <row r="141" spans="1:3" x14ac:dyDescent="0.2">
      <c r="A141" s="7" t="s">
        <v>16</v>
      </c>
      <c r="B141" s="3">
        <v>30000000</v>
      </c>
      <c r="C141" s="8"/>
    </row>
    <row r="142" spans="1:3" x14ac:dyDescent="0.2">
      <c r="A142" s="7" t="s">
        <v>22</v>
      </c>
      <c r="B142" s="5">
        <v>10</v>
      </c>
      <c r="C142" s="8"/>
    </row>
    <row r="143" spans="1:3" x14ac:dyDescent="0.2">
      <c r="A143" s="9" t="s">
        <v>28</v>
      </c>
      <c r="B143" s="6">
        <v>3000000</v>
      </c>
      <c r="C143" s="12"/>
    </row>
    <row r="144" spans="1:3" x14ac:dyDescent="0.2">
      <c r="A144" s="10" t="s">
        <v>17</v>
      </c>
      <c r="B144" s="10"/>
      <c r="C144" s="10"/>
    </row>
    <row r="145" spans="1:3" x14ac:dyDescent="0.2">
      <c r="A145" s="7" t="s">
        <v>23</v>
      </c>
      <c r="B145" s="2">
        <f>B135*B138*B136</f>
        <v>882000000</v>
      </c>
      <c r="C145" s="15" t="s">
        <v>34</v>
      </c>
    </row>
    <row r="146" spans="1:3" x14ac:dyDescent="0.2">
      <c r="A146" s="7" t="s">
        <v>24</v>
      </c>
      <c r="B146" s="2">
        <f>B131*B139</f>
        <v>157500000</v>
      </c>
      <c r="C146" s="15" t="s">
        <v>33</v>
      </c>
    </row>
    <row r="147" spans="1:3" x14ac:dyDescent="0.2">
      <c r="A147" s="7" t="s">
        <v>25</v>
      </c>
      <c r="B147" s="2">
        <f>B128*B140</f>
        <v>525000000</v>
      </c>
      <c r="C147" s="15" t="s">
        <v>32</v>
      </c>
    </row>
    <row r="148" spans="1:3" x14ac:dyDescent="0.2">
      <c r="A148" s="7" t="s">
        <v>26</v>
      </c>
      <c r="B148" s="2">
        <f>IFERROR(B142*B141,0)</f>
        <v>300000000</v>
      </c>
      <c r="C148" s="15" t="s">
        <v>31</v>
      </c>
    </row>
    <row r="149" spans="1:3" x14ac:dyDescent="0.2">
      <c r="A149" s="13" t="s">
        <v>29</v>
      </c>
      <c r="B149" s="12">
        <f>B143*B134</f>
        <v>30000000</v>
      </c>
      <c r="C149" s="16"/>
    </row>
    <row r="150" spans="1:3" x14ac:dyDescent="0.2">
      <c r="A150" s="17" t="s">
        <v>27</v>
      </c>
      <c r="B150" s="18">
        <f>SUM(B145:B149)</f>
        <v>1894500000</v>
      </c>
      <c r="C150" s="19" t="s">
        <v>30</v>
      </c>
    </row>
  </sheetData>
  <mergeCells count="15">
    <mergeCell ref="A132:C132"/>
    <mergeCell ref="A93:C93"/>
    <mergeCell ref="A95:C95"/>
    <mergeCell ref="A102:C102"/>
    <mergeCell ref="A123:C123"/>
    <mergeCell ref="A125:C125"/>
    <mergeCell ref="A63:C63"/>
    <mergeCell ref="A65:C65"/>
    <mergeCell ref="A72:C72"/>
    <mergeCell ref="A32:C32"/>
    <mergeCell ref="A34:C34"/>
    <mergeCell ref="A41:C41"/>
    <mergeCell ref="A1:C1"/>
    <mergeCell ref="A3:C3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ماهانه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Parya Mousavi</cp:lastModifiedBy>
  <cp:revision>0</cp:revision>
  <dcterms:created xsi:type="dcterms:W3CDTF">2026-09-26T19:47:12Z</dcterms:created>
  <dcterms:modified xsi:type="dcterms:W3CDTF">2026-09-28T09:09:30Z</dcterms:modified>
  <dc:language>en-US</dc:language>
</cp:coreProperties>
</file>